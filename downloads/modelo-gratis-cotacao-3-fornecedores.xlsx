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345eacf6c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 primeiro" sheetId="1" r:id="Rd96c088a79224638"/>
    <x:sheet xmlns:r="http://schemas.openxmlformats.org/officeDocument/2006/relationships" name="Cotação" sheetId="2" r:id="R8346169f5cbf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&quot;R$&quot; #,##0.00"/>
  </x:numFmts>
  <x:fonts count="28">
    <x:font>
      <x:sz val="11"/>
      <x:name val="Carlito"/>
    </x:font>
    <x:font>
      <x:b/>
      <x:sz val="20"/>
      <x:color rgb="FFFFFFFF"/>
      <x:name val="Carlito"/>
    </x:font>
    <x:font>
      <x:sz val="11"/>
      <x:color rgb="FFCFE8F3"/>
      <x:name val="Carlito"/>
    </x:font>
    <x:font>
      <x:b/>
      <x:sz val="11"/>
      <x:color rgb="FF0B1D30"/>
      <x:name val="Carlito"/>
    </x:font>
    <x:font>
      <x:sz val="11"/>
      <x:color rgb="FF172033"/>
      <x:name val="Carlito"/>
    </x:font>
    <x:font>
      <x:b/>
      <x:sz val="11"/>
      <x:color rgb="FFFFFFFF"/>
      <x:name val="Carlito"/>
    </x:font>
    <x:font>
      <x:b/>
      <x:sz val="11"/>
      <x:color rgb="FF059669"/>
      <x:name val="Carlito"/>
    </x:font>
    <x:font>
      <x:b/>
      <x:sz val="11"/>
      <x:color rgb="FF14B8A6"/>
      <x:name val="Carlito"/>
    </x:font>
    <x:font>
      <x:b/>
      <x:sz val="11"/>
      <x:color rgb="FF854D0E"/>
      <x:name val="Carlito"/>
    </x:font>
    <x:font>
      <x:b/>
      <x:sz val="11"/>
      <x:color rgb="FF5EEAD4"/>
      <x:name val="Carlito"/>
    </x:font>
    <x:font>
      <x:i/>
      <x:sz val="11"/>
      <x:color rgb="FF526071"/>
      <x:name val="Carlito"/>
    </x:font>
    <x:font>
      <x:b/>
      <x:sz val="20"/>
      <x:color rgb="FFFFFFFF"/>
      <x:name val="Aptos"/>
    </x:font>
    <x:font>
      <x:sz val="11"/>
      <x:color rgb="FFCFE8F3"/>
      <x:name val="Aptos"/>
    </x:font>
    <x:font>
      <x:sz val="11"/>
      <x:name val="Aptos"/>
    </x:font>
    <x:font>
      <x:b/>
      <x:sz val="11"/>
      <x:color rgb="FF0B1D30"/>
      <x:name val="Aptos"/>
    </x:font>
    <x:font>
      <x:sz val="11"/>
      <x:color rgb="FF172033"/>
      <x:name val="Aptos"/>
    </x:font>
    <x:font>
      <x:b/>
      <x:sz val="11"/>
      <x:color rgb="FFFFFFFF"/>
      <x:name val="Aptos"/>
    </x:font>
    <x:font>
      <x:b/>
      <x:sz val="11"/>
      <x:color rgb="FF059669"/>
      <x:name val="Aptos"/>
    </x:font>
    <x:font>
      <x:b/>
      <x:sz val="11"/>
      <x:color rgb="FF14B8A6"/>
      <x:name val="Aptos"/>
    </x:font>
    <x:font>
      <x:b/>
      <x:sz val="11"/>
      <x:color rgb="FF854D0E"/>
      <x:name val="Aptos"/>
    </x:font>
    <x:font>
      <x:b/>
      <x:sz val="11"/>
      <x:color rgb="FF5EEAD4"/>
      <x:name val="Aptos"/>
    </x:font>
    <x:font>
      <x:i/>
      <x:sz val="11"/>
      <x:color rgb="FF526071"/>
      <x:name val="Aptos"/>
    </x:font>
    <x:font>
      <x:b/>
      <x:sz val="11"/>
      <x:color rgb="FF172033"/>
      <x:name val="Carlito"/>
    </x:font>
    <x:font>
      <x:b/>
      <x:sz val="12"/>
      <x:color rgb="FF0B1D30"/>
      <x:name val="Carlito"/>
    </x:font>
    <x:font>
      <x:b/>
      <x:sz val="16"/>
      <x:color rgb="FF166534"/>
      <x:name val="Carlito"/>
    </x:font>
    <x:font>
      <x:b/>
      <x:sz val="11"/>
      <x:color rgb="FF172033"/>
      <x:name val="Aptos"/>
    </x:font>
    <x:font>
      <x:b/>
      <x:sz val="12"/>
      <x:color rgb="FF0B1D30"/>
      <x:name val="Aptos"/>
    </x:font>
    <x:font>
      <x:b/>
      <x:sz val="16"/>
      <x:color rgb="FF166534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0B1D30"/>
      </x:patternFill>
    </x:fill>
    <x:fill>
      <x:patternFill patternType="solid">
        <x:fgColor rgb="FF102B3D"/>
      </x:patternFill>
    </x:fill>
    <x:fill>
      <x:patternFill patternType="solid">
        <x:fgColor rgb="FF14B8A6"/>
      </x:patternFill>
    </x:fill>
    <x:fill>
      <x:patternFill patternType="solid">
        <x:fgColor rgb="FFCCFBF1"/>
      </x:patternFill>
    </x:fill>
    <x:fill>
      <x:patternFill patternType="solid">
        <x:fgColor rgb="FFF8FAFC"/>
      </x:patternFill>
    </x:fill>
    <x:fill>
      <x:patternFill patternType="solid">
        <x:fgColor rgb="FFE8F2FB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</x:fills>
  <x:borders count="17">
    <x:border/>
    <x:border>
      <x:bottom style="thin">
        <x:color rgb="FFCBD5E1"/>
      </x:bottom>
    </x:border>
    <x:border>
      <x:top style="thin">
        <x:color rgb="FFEAB308"/>
      </x:top>
    </x:border>
    <x:border>
      <x:bottom style="thin">
        <x:color rgb="FFEAB308"/>
      </x:bottom>
    </x:border>
    <x:border>
      <x:left style="thin">
        <x:color rgb="FFEAB308"/>
      </x:left>
      <x:top style="thin">
        <x:color rgb="FFEAB308"/>
      </x:top>
      <x:bottom style="thin">
        <x:color rgb="FFEAB308"/>
      </x:bottom>
    </x:border>
    <x:border>
      <x:top style="thin">
        <x:color rgb="FFEAB308"/>
      </x:top>
      <x:bottom style="thin">
        <x:color rgb="FFEAB308"/>
      </x:bottom>
    </x:border>
    <x:border>
      <x:right style="thin">
        <x:color rgb="FFEAB308"/>
      </x:right>
      <x:top style="thin">
        <x:color rgb="FFEAB308"/>
      </x:top>
      <x:bottom style="thin">
        <x:color rgb="FFEAB308"/>
      </x:bottom>
    </x:border>
    <x:border>
      <x:bottom style="thin">
        <x:color rgb="FF14B8A6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2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" xfId="0" applyNumberFormat="1" applyFont="1" applyFill="1" applyBorder="1"/>
    <x:xf numFmtId="0" fontId="8" fillId="8" borderId="3" xfId="0" applyNumberFormat="1" applyFont="1" applyFill="1" applyBorder="1"/>
    <x:xf numFmtId="0" fontId="8" fillId="8" borderId="2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 applyAlignment="1">
      <x:alignment horizontal="left" vertical="center"/>
    </x:xf>
    <x:xf numFmtId="0" fontId="12" fillId="3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4" fillId="4" borderId="0" xfId="0" applyNumberFormat="1" applyFont="1" applyFill="1" applyBorder="1" applyAlignment="1">
      <x:alignment vertical="center"/>
    </x:xf>
    <x:xf numFmtId="0" fontId="14" fillId="5" borderId="0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 applyAlignment="1">
      <x:alignment vertical="center" wrapText="1"/>
    </x:xf>
    <x:xf numFmtId="0" fontId="14" fillId="5" borderId="1" xfId="0" applyNumberFormat="1" applyFont="1" applyFill="1" applyBorder="1" applyAlignment="1">
      <x:alignment horizontal="center" vertical="center"/>
    </x:xf>
    <x:xf numFmtId="0" fontId="15" fillId="0" borderId="1" xfId="0" applyNumberFormat="1" applyFont="1" applyFill="1" applyBorder="1" applyAlignment="1">
      <x:alignment vertical="center" wrapText="1"/>
    </x:xf>
    <x:xf numFmtId="0" fontId="16" fillId="3" borderId="0" xfId="0" applyNumberFormat="1" applyFont="1" applyFill="1" applyBorder="1" applyAlignment="1">
      <x:alignment vertical="center"/>
    </x:xf>
    <x:xf numFmtId="0" fontId="17" fillId="6" borderId="0" xfId="0" applyNumberFormat="1" applyFont="1" applyFill="1" applyBorder="1" applyAlignment="1">
      <x:alignment horizontal="center" vertical="center" wrapText="1"/>
    </x:xf>
    <x:xf numFmtId="0" fontId="15" fillId="6" borderId="0" xfId="0" applyNumberFormat="1" applyFont="1" applyFill="1" applyBorder="1" applyAlignment="1">
      <x:alignment vertical="center" wrapText="1"/>
    </x:xf>
    <x:xf numFmtId="0" fontId="18" fillId="7" borderId="0" xfId="0" applyNumberFormat="1" applyFont="1" applyFill="1" applyBorder="1" applyAlignment="1">
      <x:alignment horizontal="center" vertical="center" wrapText="1"/>
    </x:xf>
    <x:xf numFmtId="0" fontId="15" fillId="7" borderId="0" xfId="0" applyNumberFormat="1" applyFont="1" applyFill="1" applyBorder="1" applyAlignment="1">
      <x:alignment vertical="center" wrapText="1"/>
    </x:xf>
    <x:xf numFmtId="0" fontId="19" fillId="8" borderId="2" xfId="0" applyNumberFormat="1" applyFont="1" applyFill="1" applyBorder="1" applyAlignment="1">
      <x:alignment vertical="center" wrapText="1"/>
    </x:xf>
    <x:xf numFmtId="0" fontId="19" fillId="8" borderId="3" xfId="0" applyNumberFormat="1" applyFont="1" applyFill="1" applyBorder="1" applyAlignment="1">
      <x:alignment vertical="center" wrapText="1"/>
    </x:xf>
    <x:xf numFmtId="0" fontId="20" fillId="2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22" fillId="8" borderId="0" xfId="0" applyNumberFormat="1" applyFont="1" applyFill="1" applyBorder="1"/>
    <x:xf numFmtId="0" fontId="22" fillId="8" borderId="4" xfId="0" applyNumberFormat="1" applyFont="1" applyFill="1" applyBorder="1"/>
    <x:xf numFmtId="0" fontId="22" fillId="8" borderId="5" xfId="0" applyNumberFormat="1" applyFont="1" applyFill="1" applyBorder="1"/>
    <x:xf numFmtId="0" fontId="22" fillId="8" borderId="6" xfId="0" applyNumberFormat="1" applyFont="1" applyFill="1" applyBorder="1"/>
    <x:xf numFmtId="0" fontId="22" fillId="8" borderId="4" xfId="0" applyNumberFormat="1" applyFont="1" applyFill="1" applyBorder="1" applyAlignment="1">
      <x:alignment horizontal="center"/>
    </x:xf>
    <x:xf numFmtId="0" fontId="22" fillId="8" borderId="5" xfId="0" applyNumberFormat="1" applyFont="1" applyFill="1" applyBorder="1" applyAlignment="1">
      <x:alignment horizontal="center"/>
    </x:xf>
    <x:xf numFmtId="0" fontId="22" fillId="8" borderId="6" xfId="0" applyNumberFormat="1" applyFont="1" applyFill="1" applyBorder="1" applyAlignment="1">
      <x:alignment horizontal="center"/>
    </x:xf>
    <x:xf numFmtId="0" fontId="22" fillId="8" borderId="4" xfId="0" applyNumberFormat="1" applyFont="1" applyFill="1" applyBorder="1" applyAlignment="1">
      <x:alignment horizontal="center" vertical="center"/>
    </x:xf>
    <x:xf numFmtId="0" fontId="22" fillId="8" borderId="5" xfId="0" applyNumberFormat="1" applyFont="1" applyFill="1" applyBorder="1" applyAlignment="1">
      <x:alignment horizontal="center" vertical="center"/>
    </x:xf>
    <x:xf numFmtId="0" fontId="22" fillId="8" borderId="6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5" fillId="3" borderId="7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/>
    <x:xf numFmtId="0" fontId="4" fillId="8" borderId="8" xfId="0" applyNumberFormat="1" applyFont="1" applyFill="1" applyBorder="1"/>
    <x:xf numFmtId="0" fontId="4" fillId="8" borderId="9" xfId="0" applyNumberFormat="1" applyFont="1" applyFill="1" applyBorder="1"/>
    <x:xf numFmtId="0" fontId="4" fillId="8" borderId="10" xfId="0" applyNumberFormat="1" applyFont="1" applyFill="1" applyBorder="1"/>
    <x:xf numFmtId="0" fontId="4" fillId="8" borderId="11" xfId="0" applyNumberFormat="1" applyFont="1" applyFill="1" applyBorder="1"/>
    <x:xf numFmtId="0" fontId="4" fillId="8" borderId="12" xfId="0" applyNumberFormat="1" applyFont="1" applyFill="1" applyBorder="1"/>
    <x:xf numFmtId="0" fontId="4" fillId="8" borderId="13" xfId="0" applyNumberFormat="1" applyFont="1" applyFill="1" applyBorder="1"/>
    <x:xf numFmtId="0" fontId="4" fillId="8" borderId="14" xfId="0" applyNumberFormat="1" applyFont="1" applyFill="1" applyBorder="1"/>
    <x:xf numFmtId="0" fontId="4" fillId="8" borderId="15" xfId="0" applyNumberFormat="1" applyFont="1" applyFill="1" applyBorder="1"/>
    <x:xf numFmtId="0" fontId="4" fillId="8" borderId="16" xfId="0" applyNumberFormat="1" applyFont="1" applyFill="1" applyBorder="1"/>
    <x:xf numFmtId="0" fontId="4" fillId="8" borderId="8" xfId="0" applyNumberFormat="1" applyFont="1" applyFill="1" applyBorder="1" applyAlignment="1">
      <x:alignment vertical="center"/>
    </x:xf>
    <x:xf numFmtId="0" fontId="4" fillId="8" borderId="9" xfId="0" applyNumberFormat="1" applyFont="1" applyFill="1" applyBorder="1" applyAlignment="1">
      <x:alignment vertical="center"/>
    </x:xf>
    <x:xf numFmtId="0" fontId="4" fillId="8" borderId="10" xfId="0" applyNumberFormat="1" applyFont="1" applyFill="1" applyBorder="1" applyAlignment="1">
      <x:alignment vertical="center"/>
    </x:xf>
    <x:xf numFmtId="0" fontId="4" fillId="8" borderId="11" xfId="0" applyNumberFormat="1" applyFont="1" applyFill="1" applyBorder="1" applyAlignment="1">
      <x:alignment vertical="center"/>
    </x:xf>
    <x:xf numFmtId="0" fontId="4" fillId="8" borderId="12" xfId="0" applyNumberFormat="1" applyFont="1" applyFill="1" applyBorder="1" applyAlignment="1">
      <x:alignment vertical="center"/>
    </x:xf>
    <x:xf numFmtId="0" fontId="4" fillId="8" borderId="13" xfId="0" applyNumberFormat="1" applyFont="1" applyFill="1" applyBorder="1" applyAlignment="1">
      <x:alignment vertical="center"/>
    </x:xf>
    <x:xf numFmtId="0" fontId="4" fillId="8" borderId="14" xfId="0" applyNumberFormat="1" applyFont="1" applyFill="1" applyBorder="1" applyAlignment="1">
      <x:alignment vertical="center"/>
    </x:xf>
    <x:xf numFmtId="0" fontId="4" fillId="8" borderId="15" xfId="0" applyNumberFormat="1" applyFont="1" applyFill="1" applyBorder="1" applyAlignment="1">
      <x:alignment vertical="center"/>
    </x:xf>
    <x:xf numFmtId="0" fontId="4" fillId="8" borderId="16" xfId="0" applyNumberFormat="1" applyFont="1" applyFill="1" applyBorder="1" applyAlignment="1">
      <x:alignment vertical="center"/>
    </x:xf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4" fillId="7" borderId="13" xfId="0" applyNumberFormat="1" applyFont="1" applyFill="1" applyBorder="1"/>
    <x:xf numFmtId="0" fontId="4" fillId="7" borderId="14" xfId="0" applyNumberFormat="1" applyFont="1" applyFill="1" applyBorder="1"/>
    <x:xf numFmtId="0" fontId="4" fillId="7" borderId="15" xfId="0" applyNumberFormat="1" applyFont="1" applyFill="1" applyBorder="1"/>
    <x:xf numFmtId="0" fontId="4" fillId="7" borderId="16" xfId="0" applyNumberFormat="1" applyFont="1" applyFill="1" applyBorder="1"/>
    <x:xf numFmtId="0" fontId="4" fillId="7" borderId="8" xfId="0" applyNumberFormat="1" applyFont="1" applyFill="1" applyBorder="1" applyAlignment="1">
      <x:alignment vertical="center"/>
    </x:xf>
    <x:xf numFmtId="0" fontId="4" fillId="7" borderId="9" xfId="0" applyNumberFormat="1" applyFont="1" applyFill="1" applyBorder="1" applyAlignment="1">
      <x:alignment vertical="center"/>
    </x:xf>
    <x:xf numFmtId="0" fontId="4" fillId="7" borderId="10" xfId="0" applyNumberFormat="1" applyFont="1" applyFill="1" applyBorder="1" applyAlignment="1">
      <x:alignment vertical="center"/>
    </x:xf>
    <x:xf numFmtId="0" fontId="4" fillId="7" borderId="11" xfId="0" applyNumberFormat="1" applyFont="1" applyFill="1" applyBorder="1" applyAlignment="1">
      <x:alignment vertical="center"/>
    </x:xf>
    <x:xf numFmtId="0" fontId="4" fillId="7" borderId="12" xfId="0" applyNumberFormat="1" applyFont="1" applyFill="1" applyBorder="1" applyAlignment="1">
      <x:alignment vertical="center"/>
    </x:xf>
    <x:xf numFmtId="0" fontId="4" fillId="7" borderId="13" xfId="0" applyNumberFormat="1" applyFont="1" applyFill="1" applyBorder="1" applyAlignment="1">
      <x:alignment vertical="center"/>
    </x:xf>
    <x:xf numFmtId="0" fontId="4" fillId="7" borderId="14" xfId="0" applyNumberFormat="1" applyFont="1" applyFill="1" applyBorder="1" applyAlignment="1">
      <x:alignment vertical="center"/>
    </x:xf>
    <x:xf numFmtId="0" fontId="4" fillId="7" borderId="15" xfId="0" applyNumberFormat="1" applyFont="1" applyFill="1" applyBorder="1" applyAlignment="1">
      <x:alignment vertical="center"/>
    </x:xf>
    <x:xf numFmtId="0" fontId="4" fillId="7" borderId="16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horizontal="right"/>
    </x:xf>
    <x:xf numFmtId="0" fontId="3" fillId="6" borderId="1" xfId="0" applyNumberFormat="1" applyFont="1" applyFill="1" applyBorder="1" applyAlignment="1">
      <x:alignment horizontal="right"/>
    </x:xf>
    <x:xf numFmtId="0" fontId="3" fillId="6" borderId="0" xfId="0" applyNumberFormat="1" applyFont="1" applyFill="1" applyBorder="1" applyAlignment="1">
      <x:alignment horizontal="right" vertical="center"/>
    </x:xf>
    <x:xf numFmtId="0" fontId="3" fillId="6" borderId="1" xfId="0" applyNumberFormat="1" applyFont="1" applyFill="1" applyBorder="1" applyAlignment="1">
      <x:alignment horizontal="right" vertical="center"/>
    </x:xf>
    <x:xf numFmtId="0" fontId="23" fillId="4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4" fillId="9" borderId="0" xfId="0" applyNumberFormat="1" applyFont="1" applyFill="1" applyBorder="1"/>
    <x:xf numFmtId="0" fontId="24" fillId="9" borderId="0" xfId="0" applyNumberFormat="1" applyFont="1" applyFill="1" applyBorder="1" applyAlignment="1">
      <x:alignment horizontal="center"/>
    </x:xf>
    <x:xf numFmtId="0" fontId="24" fillId="9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200" fontId="4" fillId="8" borderId="9" xfId="0" applyNumberFormat="1" applyFont="1" applyFill="1" applyBorder="1" applyAlignment="1">
      <x:alignment vertical="center"/>
    </x:xf>
    <x:xf numFmtId="200" fontId="4" fillId="8" borderId="12" xfId="0" applyNumberFormat="1" applyFont="1" applyFill="1" applyBorder="1" applyAlignment="1">
      <x:alignment vertical="center"/>
    </x:xf>
    <x:xf numFmtId="200" fontId="4" fillId="8" borderId="15" xfId="0" applyNumberFormat="1" applyFont="1" applyFill="1" applyBorder="1" applyAlignment="1">
      <x:alignment vertical="center"/>
    </x:xf>
    <x:xf numFmtId="201" fontId="4" fillId="8" borderId="9" xfId="0" applyNumberFormat="1" applyFont="1" applyFill="1" applyBorder="1" applyAlignment="1">
      <x:alignment vertical="center"/>
    </x:xf>
    <x:xf numFmtId="201" fontId="4" fillId="8" borderId="10" xfId="0" applyNumberFormat="1" applyFont="1" applyFill="1" applyBorder="1" applyAlignment="1">
      <x:alignment vertical="center"/>
    </x:xf>
    <x:xf numFmtId="201" fontId="4" fillId="7" borderId="8" xfId="0" applyNumberFormat="1" applyFont="1" applyFill="1" applyBorder="1" applyAlignment="1">
      <x:alignment vertical="center"/>
    </x:xf>
    <x:xf numFmtId="201" fontId="4" fillId="7" borderId="9" xfId="0" applyNumberFormat="1" applyFont="1" applyFill="1" applyBorder="1" applyAlignment="1">
      <x:alignment vertical="center"/>
    </x:xf>
    <x:xf numFmtId="201" fontId="4" fillId="7" borderId="10" xfId="0" applyNumberFormat="1" applyFont="1" applyFill="1" applyBorder="1" applyAlignment="1">
      <x:alignment vertical="center"/>
    </x:xf>
    <x:xf numFmtId="201" fontId="4" fillId="8" borderId="12" xfId="0" applyNumberFormat="1" applyFont="1" applyFill="1" applyBorder="1" applyAlignment="1">
      <x:alignment vertical="center"/>
    </x:xf>
    <x:xf numFmtId="201" fontId="4" fillId="8" borderId="13" xfId="0" applyNumberFormat="1" applyFont="1" applyFill="1" applyBorder="1" applyAlignment="1">
      <x:alignment vertical="center"/>
    </x:xf>
    <x:xf numFmtId="201" fontId="4" fillId="7" borderId="11" xfId="0" applyNumberFormat="1" applyFont="1" applyFill="1" applyBorder="1" applyAlignment="1">
      <x:alignment vertical="center"/>
    </x:xf>
    <x:xf numFmtId="201" fontId="4" fillId="7" borderId="12" xfId="0" applyNumberFormat="1" applyFont="1" applyFill="1" applyBorder="1" applyAlignment="1">
      <x:alignment vertical="center"/>
    </x:xf>
    <x:xf numFmtId="201" fontId="4" fillId="7" borderId="13" xfId="0" applyNumberFormat="1" applyFont="1" applyFill="1" applyBorder="1" applyAlignment="1">
      <x:alignment vertical="center"/>
    </x:xf>
    <x:xf numFmtId="201" fontId="4" fillId="8" borderId="15" xfId="0" applyNumberFormat="1" applyFont="1" applyFill="1" applyBorder="1" applyAlignment="1">
      <x:alignment vertical="center"/>
    </x:xf>
    <x:xf numFmtId="201" fontId="4" fillId="8" borderId="16" xfId="0" applyNumberFormat="1" applyFont="1" applyFill="1" applyBorder="1" applyAlignment="1">
      <x:alignment vertical="center"/>
    </x:xf>
    <x:xf numFmtId="201" fontId="4" fillId="7" borderId="14" xfId="0" applyNumberFormat="1" applyFont="1" applyFill="1" applyBorder="1" applyAlignment="1">
      <x:alignment vertical="center"/>
    </x:xf>
    <x:xf numFmtId="201" fontId="4" fillId="7" borderId="15" xfId="0" applyNumberFormat="1" applyFont="1" applyFill="1" applyBorder="1" applyAlignment="1">
      <x:alignment vertical="center"/>
    </x:xf>
    <x:xf numFmtId="201" fontId="4" fillId="7" borderId="16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3" fillId="6" borderId="0" xfId="0" applyNumberFormat="1" applyFont="1" applyFill="1" applyBorder="1" applyAlignment="1">
      <x:alignment horizontal="right" vertical="center"/>
    </x:xf>
    <x:xf numFmtId="201" fontId="3" fillId="7" borderId="0" xfId="0" applyNumberFormat="1" applyFont="1" applyFill="1" applyBorder="1"/>
    <x:xf numFmtId="201" fontId="4" fillId="8" borderId="8" xfId="0" applyNumberFormat="1" applyFont="1" applyFill="1" applyBorder="1"/>
    <x:xf numFmtId="201" fontId="4" fillId="8" borderId="9" xfId="0" applyNumberFormat="1" applyFont="1" applyFill="1" applyBorder="1"/>
    <x:xf numFmtId="201" fontId="4" fillId="8" borderId="10" xfId="0" applyNumberFormat="1" applyFont="1" applyFill="1" applyBorder="1"/>
    <x:xf numFmtId="201" fontId="4" fillId="8" borderId="14" xfId="0" applyNumberFormat="1" applyFont="1" applyFill="1" applyBorder="1"/>
    <x:xf numFmtId="201" fontId="4" fillId="8" borderId="15" xfId="0" applyNumberFormat="1" applyFont="1" applyFill="1" applyBorder="1"/>
    <x:xf numFmtId="201" fontId="4" fillId="8" borderId="16" xfId="0" applyNumberFormat="1" applyFont="1" applyFill="1" applyBorder="1"/>
    <x:xf numFmtId="201" fontId="3" fillId="6" borderId="1" xfId="0" applyNumberFormat="1" applyFont="1" applyFill="1" applyBorder="1" applyAlignment="1">
      <x:alignment horizontal="right" vertical="center"/>
    </x:xf>
    <x:xf numFmtId="201" fontId="23" fillId="4" borderId="0" xfId="0" applyNumberFormat="1" applyFont="1" applyFill="1" applyBorder="1"/>
    <x:xf numFmtId="201" fontId="24" fillId="9" borderId="0" xfId="0" applyNumberFormat="1" applyFont="1" applyFill="1" applyBorder="1" applyAlignment="1">
      <x:alignment horizontal="center" vertical="center"/>
    </x:xf>
    <x:xf numFmtId="0" fontId="11" fillId="2" borderId="0" xfId="0" applyNumberFormat="1" applyFont="1" applyFill="1" applyBorder="1" applyAlignment="1">
      <x:alignment vertical="center"/>
    </x:xf>
    <x:xf numFmtId="0" fontId="14" fillId="5" borderId="0" xfId="0" applyNumberFormat="1" applyFont="1" applyFill="1" applyBorder="1" applyAlignment="1">
      <x:alignment vertical="center"/>
    </x:xf>
    <x:xf numFmtId="0" fontId="25" fillId="8" borderId="4" xfId="0" applyNumberFormat="1" applyFont="1" applyFill="1" applyBorder="1" applyAlignment="1">
      <x:alignment horizontal="center" vertical="center"/>
    </x:xf>
    <x:xf numFmtId="0" fontId="25" fillId="8" borderId="5" xfId="0" applyNumberFormat="1" applyFont="1" applyFill="1" applyBorder="1" applyAlignment="1">
      <x:alignment horizontal="center" vertical="center"/>
    </x:xf>
    <x:xf numFmtId="0" fontId="25" fillId="8" borderId="6" xfId="0" applyNumberFormat="1" applyFont="1" applyFill="1" applyBorder="1" applyAlignment="1">
      <x:alignment horizontal="center" vertical="center"/>
    </x:xf>
    <x:xf numFmtId="0" fontId="14" fillId="7" borderId="0" xfId="0" applyNumberFormat="1" applyFont="1" applyFill="1" applyBorder="1" applyAlignment="1">
      <x:alignment horizontal="center" vertical="center"/>
    </x:xf>
    <x:xf numFmtId="0" fontId="16" fillId="3" borderId="7" xfId="0" applyNumberFormat="1" applyFont="1" applyFill="1" applyBorder="1" applyAlignment="1">
      <x:alignment horizontal="center" vertical="center" wrapText="1"/>
    </x:xf>
    <x:xf numFmtId="0" fontId="15" fillId="8" borderId="8" xfId="0" applyNumberFormat="1" applyFont="1" applyFill="1" applyBorder="1" applyAlignment="1">
      <x:alignment vertical="center"/>
    </x:xf>
    <x:xf numFmtId="200" fontId="15" fillId="8" borderId="9" xfId="0" applyNumberFormat="1" applyFont="1" applyFill="1" applyBorder="1" applyAlignment="1">
      <x:alignment vertical="center"/>
    </x:xf>
    <x:xf numFmtId="201" fontId="15" fillId="8" borderId="9" xfId="0" applyNumberFormat="1" applyFont="1" applyFill="1" applyBorder="1" applyAlignment="1">
      <x:alignment vertical="center"/>
    </x:xf>
    <x:xf numFmtId="201" fontId="15" fillId="8" borderId="10" xfId="0" applyNumberFormat="1" applyFont="1" applyFill="1" applyBorder="1" applyAlignment="1">
      <x:alignment vertical="center"/>
    </x:xf>
    <x:xf numFmtId="201" fontId="15" fillId="7" borderId="8" xfId="0" applyNumberFormat="1" applyFont="1" applyFill="1" applyBorder="1" applyAlignment="1">
      <x:alignment vertical="center"/>
    </x:xf>
    <x:xf numFmtId="201" fontId="15" fillId="7" borderId="9" xfId="0" applyNumberFormat="1" applyFont="1" applyFill="1" applyBorder="1" applyAlignment="1">
      <x:alignment vertical="center"/>
    </x:xf>
    <x:xf numFmtId="201" fontId="15" fillId="7" borderId="10" xfId="0" applyNumberFormat="1" applyFont="1" applyFill="1" applyBorder="1" applyAlignment="1">
      <x:alignment vertical="center"/>
    </x:xf>
    <x:xf numFmtId="0" fontId="15" fillId="8" borderId="11" xfId="0" applyNumberFormat="1" applyFont="1" applyFill="1" applyBorder="1" applyAlignment="1">
      <x:alignment vertical="center"/>
    </x:xf>
    <x:xf numFmtId="200" fontId="15" fillId="8" borderId="12" xfId="0" applyNumberFormat="1" applyFont="1" applyFill="1" applyBorder="1" applyAlignment="1">
      <x:alignment vertical="center"/>
    </x:xf>
    <x:xf numFmtId="201" fontId="15" fillId="8" borderId="12" xfId="0" applyNumberFormat="1" applyFont="1" applyFill="1" applyBorder="1" applyAlignment="1">
      <x:alignment vertical="center"/>
    </x:xf>
    <x:xf numFmtId="201" fontId="15" fillId="8" borderId="13" xfId="0" applyNumberFormat="1" applyFont="1" applyFill="1" applyBorder="1" applyAlignment="1">
      <x:alignment vertical="center"/>
    </x:xf>
    <x:xf numFmtId="201" fontId="15" fillId="7" borderId="11" xfId="0" applyNumberFormat="1" applyFont="1" applyFill="1" applyBorder="1" applyAlignment="1">
      <x:alignment vertical="center"/>
    </x:xf>
    <x:xf numFmtId="201" fontId="15" fillId="7" borderId="12" xfId="0" applyNumberFormat="1" applyFont="1" applyFill="1" applyBorder="1" applyAlignment="1">
      <x:alignment vertical="center"/>
    </x:xf>
    <x:xf numFmtId="201" fontId="15" fillId="7" borderId="13" xfId="0" applyNumberFormat="1" applyFont="1" applyFill="1" applyBorder="1" applyAlignment="1">
      <x:alignment vertical="center"/>
    </x:xf>
    <x:xf numFmtId="0" fontId="15" fillId="8" borderId="14" xfId="0" applyNumberFormat="1" applyFont="1" applyFill="1" applyBorder="1" applyAlignment="1">
      <x:alignment vertical="center"/>
    </x:xf>
    <x:xf numFmtId="200" fontId="15" fillId="8" borderId="15" xfId="0" applyNumberFormat="1" applyFont="1" applyFill="1" applyBorder="1" applyAlignment="1">
      <x:alignment vertical="center"/>
    </x:xf>
    <x:xf numFmtId="201" fontId="15" fillId="8" borderId="15" xfId="0" applyNumberFormat="1" applyFont="1" applyFill="1" applyBorder="1" applyAlignment="1">
      <x:alignment vertical="center"/>
    </x:xf>
    <x:xf numFmtId="201" fontId="15" fillId="8" borderId="16" xfId="0" applyNumberFormat="1" applyFont="1" applyFill="1" applyBorder="1" applyAlignment="1">
      <x:alignment vertical="center"/>
    </x:xf>
    <x:xf numFmtId="201" fontId="15" fillId="7" borderId="14" xfId="0" applyNumberFormat="1" applyFont="1" applyFill="1" applyBorder="1" applyAlignment="1">
      <x:alignment vertical="center"/>
    </x:xf>
    <x:xf numFmtId="201" fontId="15" fillId="7" borderId="15" xfId="0" applyNumberFormat="1" applyFont="1" applyFill="1" applyBorder="1" applyAlignment="1">
      <x:alignment vertical="center"/>
    </x:xf>
    <x:xf numFmtId="201" fontId="15" fillId="7" borderId="16" xfId="0" applyNumberFormat="1" applyFont="1" applyFill="1" applyBorder="1" applyAlignment="1">
      <x:alignment vertical="center"/>
    </x:xf>
    <x:xf numFmtId="201" fontId="13" fillId="0" borderId="0" xfId="0" applyNumberFormat="1" applyFont="1" applyFill="1" applyBorder="1"/>
    <x:xf numFmtId="0" fontId="14" fillId="6" borderId="0" xfId="0" applyNumberFormat="1" applyFont="1" applyFill="1" applyBorder="1" applyAlignment="1">
      <x:alignment horizontal="right" vertical="center"/>
    </x:xf>
    <x:xf numFmtId="201" fontId="14" fillId="6" borderId="0" xfId="0" applyNumberFormat="1" applyFont="1" applyFill="1" applyBorder="1" applyAlignment="1">
      <x:alignment horizontal="right" vertical="center"/>
    </x:xf>
    <x:xf numFmtId="201" fontId="14" fillId="7" borderId="0" xfId="0" applyNumberFormat="1" applyFont="1" applyFill="1" applyBorder="1"/>
    <x:xf numFmtId="201" fontId="15" fillId="8" borderId="8" xfId="0" applyNumberFormat="1" applyFont="1" applyFill="1" applyBorder="1"/>
    <x:xf numFmtId="201" fontId="15" fillId="8" borderId="9" xfId="0" applyNumberFormat="1" applyFont="1" applyFill="1" applyBorder="1"/>
    <x:xf numFmtId="201" fontId="15" fillId="8" borderId="10" xfId="0" applyNumberFormat="1" applyFont="1" applyFill="1" applyBorder="1"/>
    <x:xf numFmtId="201" fontId="15" fillId="8" borderId="14" xfId="0" applyNumberFormat="1" applyFont="1" applyFill="1" applyBorder="1"/>
    <x:xf numFmtId="201" fontId="15" fillId="8" borderId="15" xfId="0" applyNumberFormat="1" applyFont="1" applyFill="1" applyBorder="1"/>
    <x:xf numFmtId="201" fontId="15" fillId="8" borderId="16" xfId="0" applyNumberFormat="1" applyFont="1" applyFill="1" applyBorder="1"/>
    <x:xf numFmtId="0" fontId="14" fillId="6" borderId="1" xfId="0" applyNumberFormat="1" applyFont="1" applyFill="1" applyBorder="1" applyAlignment="1">
      <x:alignment horizontal="right" vertical="center"/>
    </x:xf>
    <x:xf numFmtId="201" fontId="14" fillId="6" borderId="1" xfId="0" applyNumberFormat="1" applyFont="1" applyFill="1" applyBorder="1" applyAlignment="1">
      <x:alignment horizontal="right" vertical="center"/>
    </x:xf>
    <x:xf numFmtId="201" fontId="26" fillId="4" borderId="0" xfId="0" applyNumberFormat="1" applyFont="1" applyFill="1" applyBorder="1"/>
    <x:xf numFmtId="0" fontId="16" fillId="2" borderId="0" xfId="0" applyNumberFormat="1" applyFont="1" applyFill="1" applyBorder="1" applyAlignment="1">
      <x:alignment horizontal="center" vertical="center"/>
    </x:xf>
    <x:xf numFmtId="201" fontId="27" fillId="9" borderId="0" xfId="0" applyNumberFormat="1" applyFont="1" applyFill="1" applyBorder="1" applyAlignment="1">
      <x:alignment horizontal="center" vertical="center"/>
    </x:xf>
    <x:xf numFmtId="0" fontId="20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72887111a4c34" /><Relationship Type="http://schemas.openxmlformats.org/officeDocument/2006/relationships/theme" Target="/xl/theme/theme1.xml" Id="R9e525b32e30d420c" /><Relationship Type="http://schemas.openxmlformats.org/officeDocument/2006/relationships/sharedStrings" Target="/xl/sharedStrings.xml" Id="R1bcf48fdeecb4a24" /><Relationship Type="http://schemas.openxmlformats.org/officeDocument/2006/relationships/worksheet" Target="/xl/worksheets/sheet1.xml" Id="Rd96c088a79224638" /><Relationship Type="http://schemas.openxmlformats.org/officeDocument/2006/relationships/worksheet" Target="/xl/worksheets/sheet2.xml" Id="R8346169f5cbf4c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50" t="str">
        <x:v>MODELO GRÁTIS — COTAÇÃO DE 3 FORNECEDORES</x:v>
      </x:c>
      <x:c r="B1" s="50"/>
      <x:c r="C1" s="50"/>
      <x:c r="D1" s="50"/>
      <x:c r="E1" s="50"/>
      <x:c r="F1" s="50"/>
      <x:c r="G1" s="50"/>
      <x:c r="H1" s="50"/>
    </x:row>
    <x:row r="2" ht="28" customHeight="1">
      <x:c r="A2" s="50"/>
      <x:c r="B2" s="50"/>
      <x:c r="C2" s="50"/>
      <x:c r="D2" s="50"/>
      <x:c r="E2" s="50"/>
      <x:c r="F2" s="50"/>
      <x:c r="G2" s="50"/>
      <x:c r="H2" s="50"/>
    </x:row>
    <x:row r="3" ht="28" customHeight="1">
      <x:c r="A3" s="51" t="str">
        <x:v>Um ponto de partida simples, sem macros e sem cadastro.</x:v>
      </x:c>
      <x:c r="B3" s="51"/>
      <x:c r="C3" s="51"/>
      <x:c r="D3" s="51"/>
      <x:c r="E3" s="51"/>
      <x:c r="F3" s="51"/>
      <x:c r="G3" s="51"/>
      <x:c r="H3" s="51"/>
    </x:row>
    <x:row r="4" ht="22" customHeight="1">
      <x:c r="A4" s="52"/>
      <x:c r="B4" s="52"/>
      <x:c r="C4" s="52"/>
      <x:c r="D4" s="52"/>
      <x:c r="E4" s="52"/>
      <x:c r="F4" s="52"/>
      <x:c r="G4" s="52"/>
      <x:c r="H4" s="52"/>
    </x:row>
    <x:row r="5" ht="22" customHeight="1">
      <x:c r="A5" s="53" t="str">
        <x:v>COMO USAR</x:v>
      </x:c>
      <x:c r="B5" s="53"/>
      <x:c r="C5" s="53"/>
      <x:c r="D5" s="53"/>
      <x:c r="E5" s="53"/>
      <x:c r="F5" s="53"/>
      <x:c r="G5" s="53"/>
      <x:c r="H5" s="53"/>
    </x:row>
    <x:row r="6" ht="34" customHeight="1">
      <x:c r="A6" s="54" t="str">
        <x:v>1</x:v>
      </x:c>
      <x:c r="B6" s="55" t="str">
        <x:v>Renomeie os três fornecedores na aba Cotação.</x:v>
      </x:c>
      <x:c r="C6" s="55"/>
      <x:c r="D6" s="55"/>
      <x:c r="E6" s="55"/>
      <x:c r="F6" s="55"/>
      <x:c r="G6" s="55"/>
      <x:c r="H6" s="55"/>
    </x:row>
    <x:row r="7" ht="34" customHeight="1">
      <x:c r="A7" s="54" t="str">
        <x:v>2</x:v>
      </x:c>
      <x:c r="B7" s="55" t="str">
        <x:v>Substitua os dois itens de exemplo e preencha até 10 linhas.</x:v>
      </x:c>
      <x:c r="C7" s="55"/>
      <x:c r="D7" s="55"/>
      <x:c r="E7" s="55"/>
      <x:c r="F7" s="55"/>
      <x:c r="G7" s="55"/>
      <x:c r="H7" s="55"/>
    </x:row>
    <x:row r="8" ht="34" customHeight="1">
      <x:c r="A8" s="54" t="str">
        <x:v>3</x:v>
      </x:c>
      <x:c r="B8" s="55" t="str">
        <x:v>Digite quantidade e preço unitário. Os totais são calculados automaticamente.</x:v>
      </x:c>
      <x:c r="C8" s="55"/>
      <x:c r="D8" s="55"/>
      <x:c r="E8" s="55"/>
      <x:c r="F8" s="55"/>
      <x:c r="G8" s="55"/>
      <x:c r="H8" s="55"/>
    </x:row>
    <x:row r="9" ht="34" customHeight="1">
      <x:c r="A9" s="54" t="str">
        <x:v>4</x:v>
      </x:c>
      <x:c r="B9" s="55" t="str">
        <x:v>Inclua frete e desconto de cada proposta.</x:v>
      </x:c>
      <x:c r="C9" s="55"/>
      <x:c r="D9" s="55"/>
      <x:c r="E9" s="55"/>
      <x:c r="F9" s="55"/>
      <x:c r="G9" s="55"/>
      <x:c r="H9" s="55"/>
    </x:row>
    <x:row r="10" ht="34" customHeight="1">
      <x:c r="A10" s="56" t="str">
        <x:v>5</x:v>
      </x:c>
      <x:c r="B10" s="57" t="str">
        <x:v>Confira o menor custo, mas valide escopo, prazo, qualidade, impostos e risco.</x:v>
      </x:c>
      <x:c r="C10" s="57"/>
      <x:c r="D10" s="57"/>
      <x:c r="E10" s="57"/>
      <x:c r="F10" s="57"/>
      <x:c r="G10" s="57"/>
      <x:c r="H10" s="57"/>
    </x:row>
    <x:row r="11" ht="22" customHeight="1">
      <x:c r="A11" s="52"/>
      <x:c r="B11" s="52"/>
      <x:c r="C11" s="52"/>
      <x:c r="D11" s="52"/>
      <x:c r="E11" s="52"/>
      <x:c r="F11" s="52"/>
      <x:c r="G11" s="52"/>
      <x:c r="H11" s="52"/>
    </x:row>
    <x:row r="12" ht="22" customHeight="1">
      <x:c r="A12" s="58" t="str">
        <x:v>ESTE MODELO GRÁTIS INCLUI</x:v>
      </x:c>
      <x:c r="B12" s="58" t="str">
        <x:v>ESTE MODELO GRÁTIS INCLUI</x:v>
      </x:c>
      <x:c r="C12" s="58" t="str">
        <x:v>ESTE MODELO GRÁTIS INCLUI</x:v>
      </x:c>
      <x:c r="D12" s="58" t="str">
        <x:v>ESTE MODELO GRÁTIS INCLUI</x:v>
      </x:c>
      <x:c r="E12" s="58" t="str">
        <x:v>PARA PROCESSOS RECORRENTES</x:v>
      </x:c>
      <x:c r="F12" s="58" t="str">
        <x:v>PARA PROCESSOS RECORRENTES</x:v>
      </x:c>
      <x:c r="G12" s="58" t="str">
        <x:v>PARA PROCESSOS RECORRENTES</x:v>
      </x:c>
      <x:c r="H12" s="58" t="str">
        <x:v>PARA PROCESSOS RECORRENTES</x:v>
      </x:c>
    </x:row>
    <x:row r="13" ht="22" customHeight="1">
      <x:c r="A13" s="59" t="str">
        <x:v>✓</x:v>
      </x:c>
      <x:c r="B13" s="60" t="str">
        <x:v>3 fornecedores</x:v>
      </x:c>
      <x:c r="C13" s="60"/>
      <x:c r="D13" s="60"/>
      <x:c r="E13" s="61" t="str">
        <x:v>→</x:v>
      </x:c>
      <x:c r="F13" s="62" t="str">
        <x:v>Até 50 itens e pesos configuráveis</x:v>
      </x:c>
      <x:c r="G13" s="62"/>
      <x:c r="H13" s="62"/>
    </x:row>
    <x:row r="14" ht="22" customHeight="1">
      <x:c r="A14" s="59" t="str">
        <x:v>✓</x:v>
      </x:c>
      <x:c r="B14" s="60" t="str">
        <x:v>Até 10 itens</x:v>
      </x:c>
      <x:c r="C14" s="60"/>
      <x:c r="D14" s="60"/>
      <x:c r="E14" s="61" t="str">
        <x:v>→</x:v>
      </x:c>
      <x:c r="F14" s="62" t="str">
        <x:v>Qualidade, prazo e risco no ranking</x:v>
      </x:c>
      <x:c r="G14" s="62"/>
      <x:c r="H14" s="62"/>
    </x:row>
    <x:row r="15" ht="22" customHeight="1">
      <x:c r="A15" s="59" t="str">
        <x:v>✓</x:v>
      </x:c>
      <x:c r="B15" s="60" t="str">
        <x:v>Frete e desconto</x:v>
      </x:c>
      <x:c r="C15" s="60"/>
      <x:c r="D15" s="60"/>
      <x:c r="E15" s="61" t="str">
        <x:v>→</x:v>
      </x:c>
      <x:c r="F15" s="62" t="str">
        <x:v>Painel e cadastro de fornecedores</x:v>
      </x:c>
      <x:c r="G15" s="62"/>
      <x:c r="H15" s="62"/>
    </x:row>
    <x:row r="16" ht="22" customHeight="1">
      <x:c r="A16" s="59" t="str">
        <x:v>✓</x:v>
      </x:c>
      <x:c r="B16" s="60" t="str">
        <x:v>Menor custo total</x:v>
      </x:c>
      <x:c r="C16" s="60"/>
      <x:c r="D16" s="60"/>
      <x:c r="E16" s="61" t="str">
        <x:v>→</x:v>
      </x:c>
      <x:c r="F16" s="62" t="str">
        <x:v>Histórico e justificativa da decisão</x:v>
      </x:c>
      <x:c r="G16" s="62"/>
      <x:c r="H16" s="62"/>
    </x:row>
    <x:row r="17" ht="22" customHeight="1">
      <x:c r="A17" s="59" t="str">
        <x:v>✓</x:v>
      </x:c>
      <x:c r="B17" s="60" t="str">
        <x:v>Arquivo XLSX sem macros</x:v>
      </x:c>
      <x:c r="C17" s="60"/>
      <x:c r="D17" s="60"/>
      <x:c r="E17" s="61" t="str">
        <x:v>→</x:v>
      </x:c>
      <x:c r="F17" s="62" t="str">
        <x:v>Guia completo de uso</x:v>
      </x:c>
      <x:c r="G17" s="62"/>
      <x:c r="H17" s="62"/>
    </x:row>
    <x:row r="18" ht="22" customHeight="1">
      <x:c r="A18" s="52"/>
      <x:c r="B18" s="52"/>
      <x:c r="C18" s="52"/>
      <x:c r="D18" s="52"/>
      <x:c r="E18" s="52"/>
      <x:c r="F18" s="52"/>
      <x:c r="G18" s="52"/>
      <x:c r="H18" s="52"/>
    </x:row>
    <x:row r="19" ht="34" customHeight="1">
      <x:c r="A19" s="63" t="str">
        <x:v>Importante: este arquivo organiza a comparação, mas não substitui análise técnica, fiscal, jurídica, contratual, de compliance nem as aprovações da sua empresa. Compare somente propostas equivalentes.</x:v>
      </x:c>
      <x:c r="B19" s="63"/>
      <x:c r="C19" s="63"/>
      <x:c r="D19" s="63"/>
      <x:c r="E19" s="63"/>
      <x:c r="F19" s="63"/>
      <x:c r="G19" s="63"/>
      <x:c r="H19" s="63"/>
    </x:row>
    <x:row r="20" ht="34" customHeight="1">
      <x:c r="A20" s="64"/>
      <x:c r="B20" s="64"/>
      <x:c r="C20" s="64"/>
      <x:c r="D20" s="64"/>
      <x:c r="E20" s="64"/>
      <x:c r="F20" s="64"/>
      <x:c r="G20" s="64"/>
      <x:c r="H20" s="64"/>
    </x:row>
    <x:row r="21" ht="22" customHeight="1">
      <x:c r="A21" s="52"/>
      <x:c r="B21" s="52"/>
      <x:c r="C21" s="52"/>
      <x:c r="D21" s="52"/>
      <x:c r="E21" s="52"/>
      <x:c r="F21" s="52"/>
      <x:c r="G21" s="52"/>
      <x:c r="H21" s="52"/>
    </x:row>
    <x:row r="22" ht="22" customHeight="1">
      <x:c r="A22" s="65" t="str">
        <x:v>Ferramenta grátis: https://crs-digital-factory.vercel.app/mapa-3-cotacoes/</x:v>
      </x:c>
      <x:c r="B22" s="65"/>
      <x:c r="C22" s="65"/>
      <x:c r="D22" s="65"/>
      <x:c r="E22" s="65"/>
      <x:c r="F22" s="65"/>
      <x:c r="G22" s="65"/>
      <x:c r="H22" s="65"/>
    </x:row>
    <x:row r="23" ht="22" customHeight="1">
      <x:c r="A23" s="65" t="str">
        <x:v>Versão Pro: https://crs-digital-factory.vercel.app/mapa-3-cotacoes-pro/</x:v>
      </x:c>
      <x:c r="B23" s="65"/>
      <x:c r="C23" s="65"/>
      <x:c r="D23" s="65"/>
      <x:c r="E23" s="65"/>
      <x:c r="F23" s="65"/>
      <x:c r="G23" s="65"/>
      <x:c r="H23" s="65"/>
    </x:row>
    <x:row r="24" ht="22" customHeight="1">
      <x:c r="A24" s="52"/>
      <x:c r="B24" s="52"/>
      <x:c r="C24" s="52"/>
      <x:c r="D24" s="52"/>
      <x:c r="E24" s="52"/>
      <x:c r="F24" s="52"/>
      <x:c r="G24" s="52"/>
      <x:c r="H24" s="52"/>
    </x:row>
    <x:row r="25" ht="22" customHeight="1">
      <x:c r="A25" s="66" t="str">
        <x:v>CRS Digital • ferramentas simples, úteis e transparentes • versão gratuita 1.0</x:v>
      </x:c>
      <x:c r="B25" s="66"/>
      <x:c r="C25" s="66"/>
      <x:c r="D25" s="66"/>
      <x:c r="E25" s="66"/>
      <x:c r="F25" s="66"/>
      <x:c r="G25" s="66"/>
      <x:c r="H25" s="66"/>
    </x:row>
  </x:sheetData>
  <x:mergeCells>
    <x:mergeCell ref="A1:H2"/>
    <x:mergeCell ref="A3:H3"/>
    <x:mergeCell ref="A5:H5"/>
    <x:mergeCell ref="B6:H6"/>
    <x:mergeCell ref="B7:H7"/>
    <x:mergeCell ref="B8:H8"/>
    <x:mergeCell ref="B9:H9"/>
    <x:mergeCell ref="B10:H10"/>
    <x:mergeCell ref="A12:D12"/>
    <x:mergeCell ref="E12:H12"/>
    <x:mergeCell ref="B13:D13"/>
    <x:mergeCell ref="F13:H13"/>
    <x:mergeCell ref="B14:D14"/>
    <x:mergeCell ref="F14:H14"/>
    <x:mergeCell ref="B15:D15"/>
    <x:mergeCell ref="F15:H15"/>
    <x:mergeCell ref="B16:D16"/>
    <x:mergeCell ref="F16:H16"/>
    <x:mergeCell ref="B17:D17"/>
    <x:mergeCell ref="F17:H17"/>
    <x:mergeCell ref="A19:H20"/>
    <x:mergeCell ref="A22:H22"/>
    <x:mergeCell ref="A23:H23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" customHeight="1">
      <x:c r="A1" s="169" t="str">
        <x:v>MAPA GRÁTIS — COTAÇÃO DE 3 FORNECEDORES</x:v>
      </x:c>
      <x:c r="B1" s="169"/>
      <x:c r="C1" s="169"/>
      <x:c r="D1" s="169"/>
      <x:c r="E1" s="169"/>
      <x:c r="F1" s="169"/>
      <x:c r="G1" s="169"/>
      <x:c r="H1" s="169"/>
    </x:row>
    <x:row r="2" ht="28" customHeight="1">
      <x:c r="A2" s="169"/>
      <x:c r="B2" s="169"/>
      <x:c r="C2" s="169"/>
      <x:c r="D2" s="169"/>
      <x:c r="E2" s="169"/>
      <x:c r="F2" s="169"/>
      <x:c r="G2" s="169"/>
      <x:c r="H2" s="169"/>
    </x:row>
    <x:row r="3" ht="28" customHeight="1">
      <x:c r="A3" s="51" t="str">
        <x:v>Preencha as células amarelas. As células azuis possuem fórmulas e não devem ser alteradas.</x:v>
      </x:c>
      <x:c r="B3" s="51"/>
      <x:c r="C3" s="51"/>
      <x:c r="D3" s="51"/>
      <x:c r="E3" s="51"/>
      <x:c r="F3" s="51"/>
      <x:c r="G3" s="51"/>
      <x:c r="H3" s="51"/>
    </x:row>
    <x:row r="4" ht="22" customHeight="1">
      <x:c r="A4" s="52"/>
      <x:c r="B4" s="52"/>
      <x:c r="C4" s="52"/>
      <x:c r="D4" s="52"/>
      <x:c r="E4" s="52"/>
      <x:c r="F4" s="52"/>
      <x:c r="G4" s="52"/>
      <x:c r="H4" s="52"/>
    </x:row>
    <x:row r="5" ht="22" customHeight="1">
      <x:c r="A5" s="170" t="str">
        <x:v>Nomes</x:v>
      </x:c>
      <x:c r="B5" s="170" t="str">
        <x:v>→</x:v>
      </x:c>
      <x:c r="C5" s="171" t="str">
        <x:v>Fornecedor Alfa</x:v>
      </x:c>
      <x:c r="D5" s="172" t="str">
        <x:v>Fornecedor Beta</x:v>
      </x:c>
      <x:c r="E5" s="173" t="str">
        <x:v>Fornecedor Gama</x:v>
      </x:c>
      <x:c r="F5" s="174" t="str">
        <x:v>Totais calculados</x:v>
      </x:c>
      <x:c r="G5" s="174"/>
      <x:c r="H5" s="174"/>
    </x:row>
    <x:row r="6" ht="22" customHeight="1">
      <x:c r="A6" s="52"/>
      <x:c r="B6" s="52"/>
      <x:c r="C6" s="52"/>
      <x:c r="D6" s="52"/>
      <x:c r="E6" s="52"/>
      <x:c r="F6" s="52"/>
      <x:c r="G6" s="52"/>
      <x:c r="H6" s="52"/>
    </x:row>
    <x:row r="7" ht="42" customHeight="1">
      <x:c r="A7" s="175" t="str">
        <x:v>Item / especificação</x:v>
      </x:c>
      <x:c r="B7" s="175" t="str">
        <x:v>Qtd.</x:v>
      </x:c>
      <x:c r="C7" s="175" t="str">
        <x:v>Fornecedor 1 — preço</x:v>
      </x:c>
      <x:c r="D7" s="175" t="str">
        <x:v>Fornecedor 2 — preço</x:v>
      </x:c>
      <x:c r="E7" s="175" t="str">
        <x:v>Fornecedor 3 — preço</x:v>
      </x:c>
      <x:c r="F7" s="175" t="str">
        <x:v>Total fornecedor 1</x:v>
      </x:c>
      <x:c r="G7" s="175" t="str">
        <x:v>Total fornecedor 2</x:v>
      </x:c>
      <x:c r="H7" s="175" t="str">
        <x:v>Total fornecedor 3</x:v>
      </x:c>
    </x:row>
    <x:row r="8" ht="25" customHeight="1">
      <x:c r="A8" s="176" t="str">
        <x:v>Item exemplo A — substitua</x:v>
      </x:c>
      <x:c r="B8" s="177" t="n">
        <x:v>10</x:v>
      </x:c>
      <x:c r="C8" s="178" t="n">
        <x:v>42.5</x:v>
      </x:c>
      <x:c r="D8" s="178" t="n">
        <x:v>44</x:v>
      </x:c>
      <x:c r="E8" s="179" t="n">
        <x:v>41.9</x:v>
      </x:c>
      <x:c r="F8" s="180" t="n">
        <x:f>IF(OR($A8="",$B8="",C8=""),0,$B8*C8)</x:f>
        <x:v>425</x:v>
      </x:c>
      <x:c r="G8" s="181" t="n">
        <x:f>IF(OR($A8="",$B8="",D8=""),0,$B8*D8)</x:f>
        <x:v>440</x:v>
      </x:c>
      <x:c r="H8" s="182" t="n">
        <x:f>IF(OR($A8="",$B8="",E8=""),0,$B8*E8)</x:f>
        <x:v>419</x:v>
      </x:c>
    </x:row>
    <x:row r="9" ht="25" customHeight="1">
      <x:c r="A9" s="183" t="str">
        <x:v>Item exemplo B — substitua</x:v>
      </x:c>
      <x:c r="B9" s="184" t="n">
        <x:v>5</x:v>
      </x:c>
      <x:c r="C9" s="185" t="n">
        <x:v>118</x:v>
      </x:c>
      <x:c r="D9" s="185" t="n">
        <x:v>115.5</x:v>
      </x:c>
      <x:c r="E9" s="186" t="n">
        <x:v>121</x:v>
      </x:c>
      <x:c r="F9" s="187" t="n">
        <x:f>IF(OR($A9="",$B9="",C9=""),0,$B9*C9)</x:f>
        <x:v>590</x:v>
      </x:c>
      <x:c r="G9" s="188" t="n">
        <x:f>IF(OR($A9="",$B9="",D9=""),0,$B9*D9)</x:f>
        <x:v>577.5</x:v>
      </x:c>
      <x:c r="H9" s="189" t="n">
        <x:f>IF(OR($A9="",$B9="",E9=""),0,$B9*E9)</x:f>
        <x:v>605</x:v>
      </x:c>
    </x:row>
    <x:row r="10" ht="25" customHeight="1">
      <x:c r="A10" s="183"/>
      <x:c r="B10" s="184"/>
      <x:c r="C10" s="185"/>
      <x:c r="D10" s="185"/>
      <x:c r="E10" s="186"/>
      <x:c r="F10" s="187" t="n">
        <x:f>IF(OR($A10="",$B10="",C10=""),0,$B10*C10)</x:f>
        <x:v>0</x:v>
      </x:c>
      <x:c r="G10" s="188" t="n">
        <x:f>IF(OR($A10="",$B10="",D10=""),0,$B10*D10)</x:f>
        <x:v>0</x:v>
      </x:c>
      <x:c r="H10" s="189" t="n">
        <x:f>IF(OR($A10="",$B10="",E10=""),0,$B10*E10)</x:f>
        <x:v>0</x:v>
      </x:c>
    </x:row>
    <x:row r="11" ht="25" customHeight="1">
      <x:c r="A11" s="183"/>
      <x:c r="B11" s="184"/>
      <x:c r="C11" s="185"/>
      <x:c r="D11" s="185"/>
      <x:c r="E11" s="186"/>
      <x:c r="F11" s="187" t="n">
        <x:f>IF(OR($A11="",$B11="",C11=""),0,$B11*C11)</x:f>
        <x:v>0</x:v>
      </x:c>
      <x:c r="G11" s="188" t="n">
        <x:f>IF(OR($A11="",$B11="",D11=""),0,$B11*D11)</x:f>
        <x:v>0</x:v>
      </x:c>
      <x:c r="H11" s="189" t="n">
        <x:f>IF(OR($A11="",$B11="",E11=""),0,$B11*E11)</x:f>
        <x:v>0</x:v>
      </x:c>
    </x:row>
    <x:row r="12" ht="25" customHeight="1">
      <x:c r="A12" s="183"/>
      <x:c r="B12" s="184"/>
      <x:c r="C12" s="185"/>
      <x:c r="D12" s="185"/>
      <x:c r="E12" s="186"/>
      <x:c r="F12" s="187" t="n">
        <x:f>IF(OR($A12="",$B12="",C12=""),0,$B12*C12)</x:f>
        <x:v>0</x:v>
      </x:c>
      <x:c r="G12" s="188" t="n">
        <x:f>IF(OR($A12="",$B12="",D12=""),0,$B12*D12)</x:f>
        <x:v>0</x:v>
      </x:c>
      <x:c r="H12" s="189" t="n">
        <x:f>IF(OR($A12="",$B12="",E12=""),0,$B12*E12)</x:f>
        <x:v>0</x:v>
      </x:c>
    </x:row>
    <x:row r="13" ht="25" customHeight="1">
      <x:c r="A13" s="183"/>
      <x:c r="B13" s="184"/>
      <x:c r="C13" s="185"/>
      <x:c r="D13" s="185"/>
      <x:c r="E13" s="186"/>
      <x:c r="F13" s="187" t="n">
        <x:f>IF(OR($A13="",$B13="",C13=""),0,$B13*C13)</x:f>
        <x:v>0</x:v>
      </x:c>
      <x:c r="G13" s="188" t="n">
        <x:f>IF(OR($A13="",$B13="",D13=""),0,$B13*D13)</x:f>
        <x:v>0</x:v>
      </x:c>
      <x:c r="H13" s="189" t="n">
        <x:f>IF(OR($A13="",$B13="",E13=""),0,$B13*E13)</x:f>
        <x:v>0</x:v>
      </x:c>
    </x:row>
    <x:row r="14" ht="25" customHeight="1">
      <x:c r="A14" s="183"/>
      <x:c r="B14" s="184"/>
      <x:c r="C14" s="185"/>
      <x:c r="D14" s="185"/>
      <x:c r="E14" s="186"/>
      <x:c r="F14" s="187" t="n">
        <x:f>IF(OR($A14="",$B14="",C14=""),0,$B14*C14)</x:f>
        <x:v>0</x:v>
      </x:c>
      <x:c r="G14" s="188" t="n">
        <x:f>IF(OR($A14="",$B14="",D14=""),0,$B14*D14)</x:f>
        <x:v>0</x:v>
      </x:c>
      <x:c r="H14" s="189" t="n">
        <x:f>IF(OR($A14="",$B14="",E14=""),0,$B14*E14)</x:f>
        <x:v>0</x:v>
      </x:c>
    </x:row>
    <x:row r="15" ht="25" customHeight="1">
      <x:c r="A15" s="183"/>
      <x:c r="B15" s="184"/>
      <x:c r="C15" s="185"/>
      <x:c r="D15" s="185"/>
      <x:c r="E15" s="186"/>
      <x:c r="F15" s="187" t="n">
        <x:f>IF(OR($A15="",$B15="",C15=""),0,$B15*C15)</x:f>
        <x:v>0</x:v>
      </x:c>
      <x:c r="G15" s="188" t="n">
        <x:f>IF(OR($A15="",$B15="",D15=""),0,$B15*D15)</x:f>
        <x:v>0</x:v>
      </x:c>
      <x:c r="H15" s="189" t="n">
        <x:f>IF(OR($A15="",$B15="",E15=""),0,$B15*E15)</x:f>
        <x:v>0</x:v>
      </x:c>
    </x:row>
    <x:row r="16" ht="25" customHeight="1">
      <x:c r="A16" s="183"/>
      <x:c r="B16" s="184"/>
      <x:c r="C16" s="185"/>
      <x:c r="D16" s="185"/>
      <x:c r="E16" s="186"/>
      <x:c r="F16" s="187" t="n">
        <x:f>IF(OR($A16="",$B16="",C16=""),0,$B16*C16)</x:f>
        <x:v>0</x:v>
      </x:c>
      <x:c r="G16" s="188" t="n">
        <x:f>IF(OR($A16="",$B16="",D16=""),0,$B16*D16)</x:f>
        <x:v>0</x:v>
      </x:c>
      <x:c r="H16" s="189" t="n">
        <x:f>IF(OR($A16="",$B16="",E16=""),0,$B16*E16)</x:f>
        <x:v>0</x:v>
      </x:c>
    </x:row>
    <x:row r="17" ht="25" customHeight="1">
      <x:c r="A17" s="190"/>
      <x:c r="B17" s="191"/>
      <x:c r="C17" s="192"/>
      <x:c r="D17" s="192"/>
      <x:c r="E17" s="193"/>
      <x:c r="F17" s="194" t="n">
        <x:f>IF(OR($A17="",$B17="",C17=""),0,$B17*C17)</x:f>
        <x:v>0</x:v>
      </x:c>
      <x:c r="G17" s="195" t="n">
        <x:f>IF(OR($A17="",$B17="",D17=""),0,$B17*D17)</x:f>
        <x:v>0</x:v>
      </x:c>
      <x:c r="H17" s="196" t="n">
        <x:f>IF(OR($A17="",$B17="",E17=""),0,$B17*E17)</x:f>
        <x:v>0</x:v>
      </x:c>
    </x:row>
    <x:row r="18" ht="22" customHeight="1">
      <x:c r="A18" s="52"/>
      <x:c r="B18" s="52"/>
      <x:c r="C18" s="197"/>
      <x:c r="D18" s="197"/>
      <x:c r="E18" s="197"/>
      <x:c r="F18" s="197"/>
      <x:c r="G18" s="197"/>
      <x:c r="H18" s="197"/>
    </x:row>
    <x:row r="19" ht="22" customHeight="1">
      <x:c r="A19" s="198" t="str">
        <x:v>SUBTOTAL DOS ITENS</x:v>
      </x:c>
      <x:c r="B19" s="198"/>
      <x:c r="C19" s="199"/>
      <x:c r="D19" s="199"/>
      <x:c r="E19" s="199"/>
      <x:c r="F19" s="200" t="n">
        <x:f>SUM(F8:F17)</x:f>
        <x:v>1015</x:v>
      </x:c>
      <x:c r="G19" s="200" t="n">
        <x:f>SUM(G8:G17)</x:f>
        <x:v>1017.5</x:v>
      </x:c>
      <x:c r="H19" s="200" t="n">
        <x:f>SUM(H8:H17)</x:f>
        <x:v>1024</x:v>
      </x:c>
    </x:row>
    <x:row r="20" ht="22" customHeight="1">
      <x:c r="A20" s="198" t="str">
        <x:v>FRETE</x:v>
      </x:c>
      <x:c r="B20" s="198"/>
      <x:c r="C20" s="199"/>
      <x:c r="D20" s="199"/>
      <x:c r="E20" s="199"/>
      <x:c r="F20" s="201" t="n">
        <x:v>0</x:v>
      </x:c>
      <x:c r="G20" s="202" t="n">
        <x:v>0</x:v>
      </x:c>
      <x:c r="H20" s="203" t="n">
        <x:v>0</x:v>
      </x:c>
    </x:row>
    <x:row r="21" ht="22" customHeight="1">
      <x:c r="A21" s="198" t="str">
        <x:v>DESCONTO</x:v>
      </x:c>
      <x:c r="B21" s="198"/>
      <x:c r="C21" s="199"/>
      <x:c r="D21" s="199"/>
      <x:c r="E21" s="199"/>
      <x:c r="F21" s="204" t="n">
        <x:v>0</x:v>
      </x:c>
      <x:c r="G21" s="205" t="n">
        <x:v>0</x:v>
      </x:c>
      <x:c r="H21" s="206" t="n">
        <x:v>0</x:v>
      </x:c>
    </x:row>
    <x:row r="22" ht="22" customHeight="1">
      <x:c r="A22" s="207" t="str">
        <x:v>CUSTO TOTAL</x:v>
      </x:c>
      <x:c r="B22" s="207"/>
      <x:c r="C22" s="208"/>
      <x:c r="D22" s="208"/>
      <x:c r="E22" s="208"/>
      <x:c r="F22" s="209" t="n">
        <x:f>MAX(0,F19+F20-F21)</x:f>
        <x:v>1015</x:v>
      </x:c>
      <x:c r="G22" s="209" t="n">
        <x:f>MAX(0,G19+G20-G21)</x:f>
        <x:v>1017.5</x:v>
      </x:c>
      <x:c r="H22" s="209" t="n">
        <x:f>MAX(0,H19+H20-H21)</x:f>
        <x:v>1024</x:v>
      </x:c>
    </x:row>
    <x:row r="23" ht="22" customHeight="1">
      <x:c r="A23" s="52"/>
      <x:c r="B23" s="52"/>
      <x:c r="C23" s="197"/>
      <x:c r="D23" s="197"/>
      <x:c r="E23" s="197"/>
      <x:c r="F23" s="197"/>
      <x:c r="G23" s="197"/>
      <x:c r="H23" s="197"/>
    </x:row>
    <x:row r="24" ht="32" customHeight="1">
      <x:c r="A24" s="210" t="str">
        <x:v>MENOR CUSTO TOTAL</x:v>
      </x:c>
      <x:c r="B24" s="210"/>
      <x:c r="C24" s="211" t="str">
        <x:f>IF(COUNTIF(F22:H22,"&gt;0")=0,"Preencha os preços",IF(F22=MINIFS(F22:H22,F22:H22,"&gt;0"),C5,IF(G22=MINIFS(F22:H22,F22:H22,"&gt;0"),D5,E5)))</x:f>
        <x:v>Fornecedor Alfa</x:v>
      </x:c>
      <x:c r="D24" s="211"/>
      <x:c r="E24" s="211"/>
      <x:c r="F24" s="211" t="n">
        <x:f>IF(COUNTIF(F22:H22,"&gt;0")=0,0,MINIFS(F22:H22,F22:H22,"&gt;0"))</x:f>
        <x:v>1015</x:v>
      </x:c>
      <x:c r="G24" s="211"/>
      <x:c r="H24" s="211"/>
    </x:row>
    <x:row r="25" ht="32" customHeight="1">
      <x:c r="A25" s="210"/>
      <x:c r="B25" s="210"/>
      <x:c r="C25" s="211"/>
      <x:c r="D25" s="211"/>
      <x:c r="E25" s="211"/>
      <x:c r="F25" s="211"/>
      <x:c r="G25" s="211"/>
      <x:c r="H25" s="211"/>
    </x:row>
    <x:row r="26" ht="22" customHeight="1">
      <x:c r="A26" s="52"/>
      <x:c r="B26" s="52"/>
      <x:c r="C26" s="52"/>
      <x:c r="D26" s="52"/>
      <x:c r="E26" s="52"/>
      <x:c r="F26" s="52"/>
      <x:c r="G26" s="52"/>
      <x:c r="H26" s="52"/>
    </x:row>
    <x:row r="27" ht="34" customHeight="1">
      <x:c r="A27" s="63" t="str">
        <x:v>A recomendação destaca somente o menor custo preenchido. Antes de decidir, confirme se as propostas têm o mesmo escopo, unidade, impostos, prazo, pagamento, qualidade, garantia e risco.</x:v>
      </x:c>
      <x:c r="B27" s="63"/>
      <x:c r="C27" s="63"/>
      <x:c r="D27" s="63"/>
      <x:c r="E27" s="63"/>
      <x:c r="F27" s="63"/>
      <x:c r="G27" s="63"/>
      <x:c r="H27" s="63"/>
    </x:row>
    <x:row r="28" ht="34" customHeight="1">
      <x:c r="A28" s="64"/>
      <x:c r="B28" s="64"/>
      <x:c r="C28" s="64"/>
      <x:c r="D28" s="64"/>
      <x:c r="E28" s="64"/>
      <x:c r="F28" s="64"/>
      <x:c r="G28" s="64"/>
      <x:c r="H28" s="64"/>
    </x:row>
    <x:row r="29" ht="22" customHeight="1">
      <x:c r="A29" s="52"/>
      <x:c r="B29" s="52"/>
      <x:c r="C29" s="52"/>
      <x:c r="D29" s="52"/>
      <x:c r="E29" s="52"/>
      <x:c r="F29" s="52"/>
      <x:c r="G29" s="52"/>
      <x:c r="H29" s="52"/>
    </x:row>
    <x:row r="30" ht="22" customHeight="1">
      <x:c r="A30" s="212" t="str">
        <x:v>Precisa de até 50 itens, pesos, qualidade, prazo, risco, painel e histórico? https://crs-digital-factory.vercel.app/mapa-3-cotacoes-pro/</x:v>
      </x:c>
      <x:c r="B30" s="212"/>
      <x:c r="C30" s="212"/>
      <x:c r="D30" s="212"/>
      <x:c r="E30" s="212"/>
      <x:c r="F30" s="212"/>
      <x:c r="G30" s="212"/>
      <x:c r="H30" s="212"/>
    </x:row>
  </x:sheetData>
  <x:mergeCells>
    <x:mergeCell ref="A1:H2"/>
    <x:mergeCell ref="A3:H3"/>
    <x:mergeCell ref="F5:H5"/>
    <x:mergeCell ref="A19:E19"/>
    <x:mergeCell ref="A20:E20"/>
    <x:mergeCell ref="A21:E21"/>
    <x:mergeCell ref="A22:E22"/>
    <x:mergeCell ref="A24:B25"/>
    <x:mergeCell ref="C24:E25"/>
    <x:mergeCell ref="F24:H25"/>
    <x:mergeCell ref="A27:H28"/>
    <x:mergeCell ref="A30:H30"/>
  </x:mergeCells>
  <x:conditionalFormatting sqref="F22:H22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dataValidations count="3">
    <x:dataValidation type="whole" operator="between" sqref="B8:B17">
      <x:formula1>0</x:formula1>
      <x:formula2>1000000</x:formula2>
    </x:dataValidation>
    <x:dataValidation type="decimal" operator="between" sqref="C8:E17">
      <x:formula1>0</x:formula1>
      <x:formula2>100000000</x:formula2>
    </x:dataValidation>
    <x:dataValidation type="decimal" operator="between" sqref="F20:H21">
      <x:formula1>0</x:formula1>
      <x:formula2>100000000</x:formula2>
    </x:dataValidation>
  </x:dataValidations>
  <x:pageMargins left="0.7" right="0.7" top="0.75" bottom="0.75" header="0.3" footer="0.3"/>
</x:worksheet>
</file>